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y" sheetId="1" state="visible" r:id="rId1"/>
    <sheet name="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SPEC §11 toy YELT (USD m, attritional 0) through 50 xs 60</t>
        </is>
      </c>
    </row>
    <row r="2">
      <c r="E2" s="1" t="inlineStr">
        <is>
          <t>50 xs 60</t>
        </is>
      </c>
    </row>
    <row r="3">
      <c r="A3" s="1" t="inlineStr">
        <is>
          <t>Year</t>
        </is>
      </c>
      <c r="B3" s="1" t="inlineStr">
        <is>
          <t>Event loss S</t>
        </is>
      </c>
      <c r="C3" s="1" t="inlineStr">
        <is>
          <t>r_e (50 xs 60)</t>
        </is>
      </c>
      <c r="E3" t="inlineStr">
        <is>
          <t>Attachment A</t>
        </is>
      </c>
      <c r="F3" s="2" t="n">
        <v>60</v>
      </c>
    </row>
    <row r="4">
      <c r="A4" t="n">
        <v>1</v>
      </c>
      <c r="B4" t="n">
        <v>12</v>
      </c>
      <c r="C4">
        <f>$F$5*MIN(MAX(B4-$F$3,0),$F$4)</f>
        <v/>
      </c>
      <c r="E4" t="inlineStr">
        <is>
          <t>Limit L</t>
        </is>
      </c>
      <c r="F4" s="2" t="n">
        <v>50</v>
      </c>
    </row>
    <row r="5">
      <c r="A5" t="n">
        <v>3</v>
      </c>
      <c r="B5" t="n">
        <v>65</v>
      </c>
      <c r="C5">
        <f>$F$5*MIN(MAX(B5-$F$3,0),$F$4)</f>
        <v/>
      </c>
      <c r="E5" t="inlineStr">
        <is>
          <t>Placement c</t>
        </is>
      </c>
      <c r="F5" s="2" t="n">
        <v>1</v>
      </c>
    </row>
    <row r="6">
      <c r="A6" t="n">
        <v>3</v>
      </c>
      <c r="B6" t="n">
        <v>8</v>
      </c>
      <c r="C6">
        <f>$F$5*MIN(MAX(B6-$F$3,0),$F$4)</f>
        <v/>
      </c>
      <c r="E6" t="inlineStr">
        <is>
          <t>Reinstatements n</t>
        </is>
      </c>
      <c r="F6" s="2" t="n">
        <v>1</v>
      </c>
    </row>
    <row r="7">
      <c r="A7" t="n">
        <v>4</v>
      </c>
      <c r="B7" t="n">
        <v>30</v>
      </c>
      <c r="C7">
        <f>$F$5*MIN(MAX(B7-$F$3,0),$F$4)</f>
        <v/>
      </c>
      <c r="E7" t="inlineStr">
        <is>
          <t>Reinstatement rate</t>
        </is>
      </c>
      <c r="F7" s="2" t="n">
        <v>1</v>
      </c>
    </row>
    <row r="8">
      <c r="A8" t="n">
        <v>6</v>
      </c>
      <c r="B8" t="n">
        <v>140</v>
      </c>
      <c r="C8">
        <f>$F$5*MIN(MAX(B8-$F$3,0),$F$4)</f>
        <v/>
      </c>
    </row>
    <row r="9">
      <c r="A9" t="n">
        <v>7</v>
      </c>
      <c r="B9" t="n">
        <v>20</v>
      </c>
      <c r="C9">
        <f>$F$5*MIN(MAX(B9-$F$3,0),$F$4)</f>
        <v/>
      </c>
    </row>
    <row r="10">
      <c r="A10" t="n">
        <v>8</v>
      </c>
      <c r="B10" t="n">
        <v>55</v>
      </c>
      <c r="C10">
        <f>$F$5*MIN(MAX(B10-$F$3,0),$F$4)</f>
        <v/>
      </c>
      <c r="E10" s="1" t="inlineStr">
        <is>
          <t>Year</t>
        </is>
      </c>
      <c r="F10" s="1" t="inlineStr">
        <is>
          <t>Sum r_e</t>
        </is>
      </c>
      <c r="G10" s="1" t="inlineStr">
        <is>
          <t>Annual cap (1+n)cL</t>
        </is>
      </c>
      <c r="H10" s="1" t="inlineStr">
        <is>
          <t>Recovery R</t>
        </is>
      </c>
      <c r="I10" s="1" t="inlineStr">
        <is>
          <t>Reinstated f</t>
        </is>
      </c>
    </row>
    <row r="11">
      <c r="A11" t="n">
        <v>8</v>
      </c>
      <c r="B11" t="n">
        <v>90</v>
      </c>
      <c r="C11">
        <f>$F$5*MIN(MAX(B11-$F$3,0),$F$4)</f>
        <v/>
      </c>
      <c r="E11" t="n">
        <v>1</v>
      </c>
      <c r="F11">
        <f>SUMIF($A$4:$A$12,E11,$C$4:$C$12)</f>
        <v/>
      </c>
      <c r="G11">
        <f>(1+$F$6)*$F$5*$F$4</f>
        <v/>
      </c>
      <c r="H11">
        <f>MIN(F11,G11)</f>
        <v/>
      </c>
      <c r="I11">
        <f>MIN(H11/($F$5*$F$4),$F$6)</f>
        <v/>
      </c>
    </row>
    <row r="12">
      <c r="A12" t="n">
        <v>10</v>
      </c>
      <c r="B12" t="n">
        <v>5</v>
      </c>
      <c r="C12">
        <f>$F$5*MIN(MAX(B12-$F$3,0),$F$4)</f>
        <v/>
      </c>
      <c r="E12" t="n">
        <v>2</v>
      </c>
      <c r="F12">
        <f>SUMIF($A$4:$A$12,E12,$C$4:$C$12)</f>
        <v/>
      </c>
      <c r="G12">
        <f>(1+$F$6)*$F$5*$F$4</f>
        <v/>
      </c>
      <c r="H12">
        <f>MIN(F12,G12)</f>
        <v/>
      </c>
      <c r="I12">
        <f>MIN(H12/($F$5*$F$4),$F$6)</f>
        <v/>
      </c>
    </row>
    <row r="13">
      <c r="E13" t="n">
        <v>3</v>
      </c>
      <c r="F13">
        <f>SUMIF($A$4:$A$12,E13,$C$4:$C$12)</f>
        <v/>
      </c>
      <c r="G13">
        <f>(1+$F$6)*$F$5*$F$4</f>
        <v/>
      </c>
      <c r="H13">
        <f>MIN(F13,G13)</f>
        <v/>
      </c>
      <c r="I13">
        <f>MIN(H13/($F$5*$F$4),$F$6)</f>
        <v/>
      </c>
    </row>
    <row r="14">
      <c r="E14" t="n">
        <v>4</v>
      </c>
      <c r="F14">
        <f>SUMIF($A$4:$A$12,E14,$C$4:$C$12)</f>
        <v/>
      </c>
      <c r="G14">
        <f>(1+$F$6)*$F$5*$F$4</f>
        <v/>
      </c>
      <c r="H14">
        <f>MIN(F14,G14)</f>
        <v/>
      </c>
      <c r="I14">
        <f>MIN(H14/($F$5*$F$4),$F$6)</f>
        <v/>
      </c>
    </row>
    <row r="15">
      <c r="E15" t="n">
        <v>5</v>
      </c>
      <c r="F15">
        <f>SUMIF($A$4:$A$12,E15,$C$4:$C$12)</f>
        <v/>
      </c>
      <c r="G15">
        <f>(1+$F$6)*$F$5*$F$4</f>
        <v/>
      </c>
      <c r="H15">
        <f>MIN(F15,G15)</f>
        <v/>
      </c>
      <c r="I15">
        <f>MIN(H15/($F$5*$F$4),$F$6)</f>
        <v/>
      </c>
    </row>
    <row r="16">
      <c r="E16" t="n">
        <v>6</v>
      </c>
      <c r="F16">
        <f>SUMIF($A$4:$A$12,E16,$C$4:$C$12)</f>
        <v/>
      </c>
      <c r="G16">
        <f>(1+$F$6)*$F$5*$F$4</f>
        <v/>
      </c>
      <c r="H16">
        <f>MIN(F16,G16)</f>
        <v/>
      </c>
      <c r="I16">
        <f>MIN(H16/($F$5*$F$4),$F$6)</f>
        <v/>
      </c>
    </row>
    <row r="17">
      <c r="E17" t="n">
        <v>7</v>
      </c>
      <c r="F17">
        <f>SUMIF($A$4:$A$12,E17,$C$4:$C$12)</f>
        <v/>
      </c>
      <c r="G17">
        <f>(1+$F$6)*$F$5*$F$4</f>
        <v/>
      </c>
      <c r="H17">
        <f>MIN(F17,G17)</f>
        <v/>
      </c>
      <c r="I17">
        <f>MIN(H17/($F$5*$F$4),$F$6)</f>
        <v/>
      </c>
    </row>
    <row r="18">
      <c r="E18" t="n">
        <v>8</v>
      </c>
      <c r="F18">
        <f>SUMIF($A$4:$A$12,E18,$C$4:$C$12)</f>
        <v/>
      </c>
      <c r="G18">
        <f>(1+$F$6)*$F$5*$F$4</f>
        <v/>
      </c>
      <c r="H18">
        <f>MIN(F18,G18)</f>
        <v/>
      </c>
      <c r="I18">
        <f>MIN(H18/($F$5*$F$4),$F$6)</f>
        <v/>
      </c>
    </row>
    <row r="19">
      <c r="E19" t="n">
        <v>9</v>
      </c>
      <c r="F19">
        <f>SUMIF($A$4:$A$12,E19,$C$4:$C$12)</f>
        <v/>
      </c>
      <c r="G19">
        <f>(1+$F$6)*$F$5*$F$4</f>
        <v/>
      </c>
      <c r="H19">
        <f>MIN(F19,G19)</f>
        <v/>
      </c>
      <c r="I19">
        <f>MIN(H19/($F$5*$F$4),$F$6)</f>
        <v/>
      </c>
    </row>
    <row r="20">
      <c r="E20" t="n">
        <v>10</v>
      </c>
      <c r="F20">
        <f>SUMIF($A$4:$A$12,E20,$C$4:$C$12)</f>
        <v/>
      </c>
      <c r="G20">
        <f>(1+$F$6)*$F$5*$F$4</f>
        <v/>
      </c>
      <c r="H20">
        <f>MIN(F20,G20)</f>
        <v/>
      </c>
      <c r="I20">
        <f>MIN(H20/($F$5*$F$4),$F$6)</f>
        <v/>
      </c>
    </row>
    <row r="21">
      <c r="E21" s="1" t="inlineStr">
        <is>
          <t>Burning cost</t>
        </is>
      </c>
      <c r="H21">
        <f>AVERAGE(H11:H20)</f>
        <v/>
      </c>
    </row>
    <row r="22">
      <c r="E22" s="1" t="inlineStr">
        <is>
          <t>Years hit</t>
        </is>
      </c>
      <c r="H22">
        <f>COUNTIF(H11:H20,"&gt;0")</f>
        <v/>
      </c>
    </row>
    <row r="23">
      <c r="E23" s="1" t="inlineStr">
        <is>
          <t>Mean f</t>
        </is>
      </c>
      <c r="I23">
        <f>AVERAGE(I11:I20)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selection activeCell="A1" sqref="A1"/>
    </sheetView>
  </sheetViews>
  <sheetFormatPr baseColWidth="8" defaultRowHeight="15"/>
  <cols>
    <col width="28" customWidth="1" min="2" max="2"/>
  </cols>
  <sheetData>
    <row r="1">
      <c r="A1" s="1" t="inlineStr">
        <is>
          <t>Calibration as-if events (USD m, 2025 basis) through two sample layers, q = 0, c = 1, n = 1</t>
        </is>
      </c>
    </row>
    <row r="2">
      <c r="G2" s="1" t="inlineStr">
        <is>
          <t>Layer 1-in-10 to 1-in-50</t>
        </is>
      </c>
      <c r="N2" s="1" t="inlineStr">
        <is>
          <t>Layer 1-in-50 to 1-in-200</t>
        </is>
      </c>
    </row>
    <row r="3">
      <c r="A3" s="1" t="inlineStr">
        <is>
          <t>Year</t>
        </is>
      </c>
      <c r="B3" s="1" t="inlineStr">
        <is>
          <t>Event</t>
        </is>
      </c>
      <c r="C3" s="1" t="inlineStr">
        <is>
          <t>As-if loss S</t>
        </is>
      </c>
      <c r="D3" s="1" t="inlineStr">
        <is>
          <t>r_e (Layer 1-in-10 to 1-in-50)</t>
        </is>
      </c>
      <c r="E3" s="1" t="inlineStr">
        <is>
          <t>r_e (Layer 1-in-50 to 1-in-200)</t>
        </is>
      </c>
      <c r="G3" t="inlineStr">
        <is>
          <t>Attachment A</t>
        </is>
      </c>
      <c r="H3" s="2" t="n">
        <v>2480</v>
      </c>
      <c r="N3" t="inlineStr">
        <is>
          <t>Attachment A</t>
        </is>
      </c>
      <c r="O3" s="2" t="n">
        <v>10000</v>
      </c>
    </row>
    <row r="4">
      <c r="A4" t="n">
        <v>2009</v>
      </c>
      <c r="B4" t="inlineStr">
        <is>
          <t>Spring Storm</t>
        </is>
      </c>
      <c r="C4" t="n">
        <v>146.341883</v>
      </c>
      <c r="D4">
        <f>$H$5*MIN(MAX(C4-$H$3,0),$H$4)</f>
        <v/>
      </c>
      <c r="E4">
        <f>$O$5*MIN(MAX(C4-$O$3,0),$O$4)</f>
        <v/>
      </c>
      <c r="G4" t="inlineStr">
        <is>
          <t>Limit L</t>
        </is>
      </c>
      <c r="H4" s="2" t="n">
        <v>7520</v>
      </c>
      <c r="N4" t="inlineStr">
        <is>
          <t>Limit L</t>
        </is>
      </c>
      <c r="O4" s="2" t="n">
        <v>16640</v>
      </c>
    </row>
    <row r="5">
      <c r="A5" t="n">
        <v>2011</v>
      </c>
      <c r="B5" t="inlineStr">
        <is>
          <t>Mid-spring storms</t>
        </is>
      </c>
      <c r="C5" t="n">
        <v>212.530672</v>
      </c>
      <c r="D5">
        <f>$H$5*MIN(MAX(C5-$H$3,0),$H$4)</f>
        <v/>
      </c>
      <c r="E5">
        <f>$O$5*MIN(MAX(C5-$O$3,0),$O$4)</f>
        <v/>
      </c>
      <c r="G5" t="inlineStr">
        <is>
          <t>Placement c</t>
        </is>
      </c>
      <c r="H5" s="2" t="n">
        <v>1</v>
      </c>
      <c r="N5" t="inlineStr">
        <is>
          <t>Placement c</t>
        </is>
      </c>
      <c r="O5" s="2" t="n">
        <v>1</v>
      </c>
    </row>
    <row r="6">
      <c r="A6" t="n">
        <v>2012</v>
      </c>
      <c r="B6" t="inlineStr">
        <is>
          <t>Hurricane Isaac</t>
        </is>
      </c>
      <c r="C6" t="n">
        <v>572.24356</v>
      </c>
      <c r="D6">
        <f>$H$5*MIN(MAX(C6-$H$3,0),$H$4)</f>
        <v/>
      </c>
      <c r="E6">
        <f>$O$5*MIN(MAX(C6-$O$3,0),$O$4)</f>
        <v/>
      </c>
      <c r="G6" t="inlineStr">
        <is>
          <t>Reinstatements n</t>
        </is>
      </c>
      <c r="H6" s="2" t="n">
        <v>1</v>
      </c>
      <c r="N6" t="inlineStr">
        <is>
          <t>Reinstatements n</t>
        </is>
      </c>
      <c r="O6" s="2" t="n">
        <v>1</v>
      </c>
    </row>
    <row r="7">
      <c r="A7" t="n">
        <v>2015</v>
      </c>
      <c r="B7" t="inlineStr">
        <is>
          <t>Early summer storms</t>
        </is>
      </c>
      <c r="C7" t="n">
        <v>541.615094</v>
      </c>
      <c r="D7">
        <f>$H$5*MIN(MAX(C7-$H$3,0),$H$4)</f>
        <v/>
      </c>
      <c r="E7">
        <f>$O$5*MIN(MAX(C7-$O$3,0),$O$4)</f>
        <v/>
      </c>
      <c r="G7" t="inlineStr">
        <is>
          <t>Reinstatement rate</t>
        </is>
      </c>
      <c r="H7" s="2" t="n">
        <v>1</v>
      </c>
      <c r="N7" t="inlineStr">
        <is>
          <t>Reinstatement rate</t>
        </is>
      </c>
      <c r="O7" s="2" t="n">
        <v>1</v>
      </c>
    </row>
    <row r="8">
      <c r="A8" t="n">
        <v>2016</v>
      </c>
      <c r="B8" t="inlineStr">
        <is>
          <t>Late winter severe storms</t>
        </is>
      </c>
      <c r="C8" t="n">
        <v>253.797469</v>
      </c>
      <c r="D8">
        <f>$H$5*MIN(MAX(C8-$H$3,0),$H$4)</f>
        <v/>
      </c>
      <c r="E8">
        <f>$O$5*MIN(MAX(C8-$O$3,0),$O$4)</f>
        <v/>
      </c>
    </row>
    <row r="9">
      <c r="A9" t="n">
        <v>2016</v>
      </c>
      <c r="B9" t="inlineStr">
        <is>
          <t>Spring severe storms</t>
        </is>
      </c>
      <c r="C9" t="n">
        <v>513.771526</v>
      </c>
      <c r="D9">
        <f>$H$5*MIN(MAX(C9-$H$3,0),$H$4)</f>
        <v/>
      </c>
      <c r="E9">
        <f>$O$5*MIN(MAX(C9-$O$3,0),$O$4)</f>
        <v/>
      </c>
    </row>
    <row r="10">
      <c r="A10" t="n">
        <v>2016</v>
      </c>
      <c r="B10" t="inlineStr">
        <is>
          <t>Early summer severe storms</t>
        </is>
      </c>
      <c r="C10" t="n">
        <v>201.368768</v>
      </c>
      <c r="D10">
        <f>$H$5*MIN(MAX(C10-$H$3,0),$H$4)</f>
        <v/>
      </c>
      <c r="E10">
        <f>$O$5*MIN(MAX(C10-$O$3,0),$O$4)</f>
        <v/>
      </c>
      <c r="G10" s="1" t="inlineStr">
        <is>
          <t>Year</t>
        </is>
      </c>
      <c r="H10" s="1" t="inlineStr">
        <is>
          <t>Sum r_e</t>
        </is>
      </c>
      <c r="I10" s="1" t="inlineStr">
        <is>
          <t>Annual cap (1+n)cL</t>
        </is>
      </c>
      <c r="J10" s="1" t="inlineStr">
        <is>
          <t>Recovery R</t>
        </is>
      </c>
      <c r="K10" s="1" t="inlineStr">
        <is>
          <t>Reinstated f</t>
        </is>
      </c>
      <c r="N10" s="1" t="inlineStr">
        <is>
          <t>Year</t>
        </is>
      </c>
      <c r="O10" s="1" t="inlineStr">
        <is>
          <t>Sum r_e</t>
        </is>
      </c>
      <c r="P10" s="1" t="inlineStr">
        <is>
          <t>Annual cap (1+n)cL</t>
        </is>
      </c>
      <c r="Q10" s="1" t="inlineStr">
        <is>
          <t>Recovery R</t>
        </is>
      </c>
      <c r="R10" s="1" t="inlineStr">
        <is>
          <t>Reinstated f</t>
        </is>
      </c>
    </row>
    <row r="11">
      <c r="A11" t="n">
        <v>2016</v>
      </c>
      <c r="B11" t="inlineStr">
        <is>
          <t>Mid-summer severe storms</t>
        </is>
      </c>
      <c r="C11" t="n">
        <v>2226.028144</v>
      </c>
      <c r="D11">
        <f>$H$5*MIN(MAX(C11-$H$3,0),$H$4)</f>
        <v/>
      </c>
      <c r="E11">
        <f>$O$5*MIN(MAX(C11-$O$3,0),$O$4)</f>
        <v/>
      </c>
      <c r="G11" t="n">
        <v>2009</v>
      </c>
      <c r="H11">
        <f>SUMIF($A$4:$A$23,G11,$D$4:$D$23)</f>
        <v/>
      </c>
      <c r="I11">
        <f>(1+$H$6)*$H$5*$H$4</f>
        <v/>
      </c>
      <c r="J11">
        <f>MIN(H11,I11)</f>
        <v/>
      </c>
      <c r="K11">
        <f>MIN(J11/($H$5*$H$4),$H$6)</f>
        <v/>
      </c>
      <c r="N11" t="n">
        <v>2009</v>
      </c>
      <c r="O11">
        <f>SUMIF($A$4:$A$23,N11,$E$4:$E$23)</f>
        <v/>
      </c>
      <c r="P11">
        <f>(1+$O$6)*$O$5*$O$4</f>
        <v/>
      </c>
      <c r="Q11">
        <f>MIN(O11,P11)</f>
        <v/>
      </c>
      <c r="R11">
        <f>MIN(Q11/($O$5*$O$4),$O$6)</f>
        <v/>
      </c>
    </row>
    <row r="12">
      <c r="A12" t="n">
        <v>2016</v>
      </c>
      <c r="B12" t="inlineStr">
        <is>
          <t>Hurricane Matthew</t>
        </is>
      </c>
      <c r="C12" t="n">
        <v>208.985914</v>
      </c>
      <c r="D12">
        <f>$H$5*MIN(MAX(C12-$H$3,0),$H$4)</f>
        <v/>
      </c>
      <c r="E12">
        <f>$O$5*MIN(MAX(C12-$O$3,0),$O$4)</f>
        <v/>
      </c>
      <c r="G12" t="n">
        <v>2010</v>
      </c>
      <c r="H12">
        <f>SUMIF($A$4:$A$23,G12,$D$4:$D$23)</f>
        <v/>
      </c>
      <c r="I12">
        <f>(1+$H$6)*$H$5*$H$4</f>
        <v/>
      </c>
      <c r="J12">
        <f>MIN(H12,I12)</f>
        <v/>
      </c>
      <c r="K12">
        <f>MIN(J12/($H$5*$H$4),$H$6)</f>
        <v/>
      </c>
      <c r="N12" t="n">
        <v>2010</v>
      </c>
      <c r="O12">
        <f>SUMIF($A$4:$A$23,N12,$E$4:$E$23)</f>
        <v/>
      </c>
      <c r="P12">
        <f>(1+$O$6)*$O$5*$O$4</f>
        <v/>
      </c>
      <c r="Q12">
        <f>MIN(O12,P12)</f>
        <v/>
      </c>
      <c r="R12">
        <f>MIN(Q12/($O$5*$O$4),$O$6)</f>
        <v/>
      </c>
    </row>
    <row r="13">
      <c r="A13" t="n">
        <v>2017</v>
      </c>
      <c r="B13" t="inlineStr">
        <is>
          <t>Hurricane Harvey</t>
        </is>
      </c>
      <c r="C13" t="n">
        <v>8879.572211999999</v>
      </c>
      <c r="D13">
        <f>$H$5*MIN(MAX(C13-$H$3,0),$H$4)</f>
        <v/>
      </c>
      <c r="E13">
        <f>$O$5*MIN(MAX(C13-$O$3,0),$O$4)</f>
        <v/>
      </c>
      <c r="G13" t="n">
        <v>2011</v>
      </c>
      <c r="H13">
        <f>SUMIF($A$4:$A$23,G13,$D$4:$D$23)</f>
        <v/>
      </c>
      <c r="I13">
        <f>(1+$H$6)*$H$5*$H$4</f>
        <v/>
      </c>
      <c r="J13">
        <f>MIN(H13,I13)</f>
        <v/>
      </c>
      <c r="K13">
        <f>MIN(J13/($H$5*$H$4),$H$6)</f>
        <v/>
      </c>
      <c r="N13" t="n">
        <v>2011</v>
      </c>
      <c r="O13">
        <f>SUMIF($A$4:$A$23,N13,$E$4:$E$23)</f>
        <v/>
      </c>
      <c r="P13">
        <f>(1+$O$6)*$O$5*$O$4</f>
        <v/>
      </c>
      <c r="Q13">
        <f>MIN(O13,P13)</f>
        <v/>
      </c>
      <c r="R13">
        <f>MIN(Q13/($O$5*$O$4),$O$6)</f>
        <v/>
      </c>
    </row>
    <row r="14">
      <c r="A14" t="n">
        <v>2017</v>
      </c>
      <c r="B14" t="inlineStr">
        <is>
          <t>Hurricane Irma</t>
        </is>
      </c>
      <c r="C14" t="n">
        <v>1038.937414</v>
      </c>
      <c r="D14">
        <f>$H$5*MIN(MAX(C14-$H$3,0),$H$4)</f>
        <v/>
      </c>
      <c r="E14">
        <f>$O$5*MIN(MAX(C14-$O$3,0),$O$4)</f>
        <v/>
      </c>
      <c r="G14" t="n">
        <v>2012</v>
      </c>
      <c r="H14">
        <f>SUMIF($A$4:$A$23,G14,$D$4:$D$23)</f>
        <v/>
      </c>
      <c r="I14">
        <f>(1+$H$6)*$H$5*$H$4</f>
        <v/>
      </c>
      <c r="J14">
        <f>MIN(H14,I14)</f>
        <v/>
      </c>
      <c r="K14">
        <f>MIN(J14/($H$5*$H$4),$H$6)</f>
        <v/>
      </c>
      <c r="N14" t="n">
        <v>2012</v>
      </c>
      <c r="O14">
        <f>SUMIF($A$4:$A$23,N14,$E$4:$E$23)</f>
        <v/>
      </c>
      <c r="P14">
        <f>(1+$O$6)*$O$5*$O$4</f>
        <v/>
      </c>
      <c r="Q14">
        <f>MIN(O14,P14)</f>
        <v/>
      </c>
      <c r="R14">
        <f>MIN(Q14/($O$5*$O$4),$O$6)</f>
        <v/>
      </c>
    </row>
    <row r="15">
      <c r="A15" t="n">
        <v>2018</v>
      </c>
      <c r="B15" t="inlineStr">
        <is>
          <t>Hurricane Michael</t>
        </is>
      </c>
      <c r="C15" t="n">
        <v>250.566851</v>
      </c>
      <c r="D15">
        <f>$H$5*MIN(MAX(C15-$H$3,0),$H$4)</f>
        <v/>
      </c>
      <c r="E15">
        <f>$O$5*MIN(MAX(C15-$O$3,0),$O$4)</f>
        <v/>
      </c>
      <c r="G15" t="n">
        <v>2013</v>
      </c>
      <c r="H15">
        <f>SUMIF($A$4:$A$23,G15,$D$4:$D$23)</f>
        <v/>
      </c>
      <c r="I15">
        <f>(1+$H$6)*$H$5*$H$4</f>
        <v/>
      </c>
      <c r="J15">
        <f>MIN(H15,I15)</f>
        <v/>
      </c>
      <c r="K15">
        <f>MIN(J15/($H$5*$H$4),$H$6)</f>
        <v/>
      </c>
      <c r="N15" t="n">
        <v>2013</v>
      </c>
      <c r="O15">
        <f>SUMIF($A$4:$A$23,N15,$E$4:$E$23)</f>
        <v/>
      </c>
      <c r="P15">
        <f>(1+$O$6)*$O$5*$O$4</f>
        <v/>
      </c>
      <c r="Q15">
        <f>MIN(O15,P15)</f>
        <v/>
      </c>
      <c r="R15">
        <f>MIN(Q15/($O$5*$O$4),$O$6)</f>
        <v/>
      </c>
    </row>
    <row r="16">
      <c r="A16" t="n">
        <v>2019</v>
      </c>
      <c r="B16" t="inlineStr">
        <is>
          <t>Tropical Storm Imelda</t>
        </is>
      </c>
      <c r="C16" t="n">
        <v>618.975336</v>
      </c>
      <c r="D16">
        <f>$H$5*MIN(MAX(C16-$H$3,0),$H$4)</f>
        <v/>
      </c>
      <c r="E16">
        <f>$O$5*MIN(MAX(C16-$O$3,0),$O$4)</f>
        <v/>
      </c>
      <c r="G16" t="n">
        <v>2014</v>
      </c>
      <c r="H16">
        <f>SUMIF($A$4:$A$23,G16,$D$4:$D$23)</f>
        <v/>
      </c>
      <c r="I16">
        <f>(1+$H$6)*$H$5*$H$4</f>
        <v/>
      </c>
      <c r="J16">
        <f>MIN(H16,I16)</f>
        <v/>
      </c>
      <c r="K16">
        <f>MIN(J16/($H$5*$H$4),$H$6)</f>
        <v/>
      </c>
      <c r="N16" t="n">
        <v>2014</v>
      </c>
      <c r="O16">
        <f>SUMIF($A$4:$A$23,N16,$E$4:$E$23)</f>
        <v/>
      </c>
      <c r="P16">
        <f>(1+$O$6)*$O$5*$O$4</f>
        <v/>
      </c>
      <c r="Q16">
        <f>MIN(O16,P16)</f>
        <v/>
      </c>
      <c r="R16">
        <f>MIN(Q16/($O$5*$O$4),$O$6)</f>
        <v/>
      </c>
    </row>
    <row r="17">
      <c r="A17" t="n">
        <v>2020</v>
      </c>
      <c r="B17" t="inlineStr">
        <is>
          <t>Hurricane Sally</t>
        </is>
      </c>
      <c r="C17" t="n">
        <v>282.93288</v>
      </c>
      <c r="D17">
        <f>$H$5*MIN(MAX(C17-$H$3,0),$H$4)</f>
        <v/>
      </c>
      <c r="E17">
        <f>$O$5*MIN(MAX(C17-$O$3,0),$O$4)</f>
        <v/>
      </c>
      <c r="G17" t="n">
        <v>2015</v>
      </c>
      <c r="H17">
        <f>SUMIF($A$4:$A$23,G17,$D$4:$D$23)</f>
        <v/>
      </c>
      <c r="I17">
        <f>(1+$H$6)*$H$5*$H$4</f>
        <v/>
      </c>
      <c r="J17">
        <f>MIN(H17,I17)</f>
        <v/>
      </c>
      <c r="K17">
        <f>MIN(J17/($H$5*$H$4),$H$6)</f>
        <v/>
      </c>
      <c r="N17" t="n">
        <v>2015</v>
      </c>
      <c r="O17">
        <f>SUMIF($A$4:$A$23,N17,$E$4:$E$23)</f>
        <v/>
      </c>
      <c r="P17">
        <f>(1+$O$6)*$O$5*$O$4</f>
        <v/>
      </c>
      <c r="Q17">
        <f>MIN(O17,P17)</f>
        <v/>
      </c>
      <c r="R17">
        <f>MIN(Q17/($O$5*$O$4),$O$6)</f>
        <v/>
      </c>
    </row>
    <row r="18">
      <c r="A18" t="n">
        <v>2020</v>
      </c>
      <c r="B18" t="inlineStr">
        <is>
          <t>Hurricane Eta</t>
        </is>
      </c>
      <c r="C18" t="n">
        <v>106.039859</v>
      </c>
      <c r="D18">
        <f>$H$5*MIN(MAX(C18-$H$3,0),$H$4)</f>
        <v/>
      </c>
      <c r="E18">
        <f>$O$5*MIN(MAX(C18-$O$3,0),$O$4)</f>
        <v/>
      </c>
      <c r="G18" t="n">
        <v>2016</v>
      </c>
      <c r="H18">
        <f>SUMIF($A$4:$A$23,G18,$D$4:$D$23)</f>
        <v/>
      </c>
      <c r="I18">
        <f>(1+$H$6)*$H$5*$H$4</f>
        <v/>
      </c>
      <c r="J18">
        <f>MIN(H18,I18)</f>
        <v/>
      </c>
      <c r="K18">
        <f>MIN(J18/($H$5*$H$4),$H$6)</f>
        <v/>
      </c>
      <c r="N18" t="n">
        <v>2016</v>
      </c>
      <c r="O18">
        <f>SUMIF($A$4:$A$23,N18,$E$4:$E$23)</f>
        <v/>
      </c>
      <c r="P18">
        <f>(1+$O$6)*$O$5*$O$4</f>
        <v/>
      </c>
      <c r="Q18">
        <f>MIN(O18,P18)</f>
        <v/>
      </c>
      <c r="R18">
        <f>MIN(Q18/($O$5*$O$4),$O$6)</f>
        <v/>
      </c>
    </row>
    <row r="19">
      <c r="A19" t="n">
        <v>2021</v>
      </c>
      <c r="B19" t="inlineStr">
        <is>
          <t>2021 Mid-Spring Severe Storms</t>
        </is>
      </c>
      <c r="C19" t="n">
        <v>189.458718</v>
      </c>
      <c r="D19">
        <f>$H$5*MIN(MAX(C19-$H$3,0),$H$4)</f>
        <v/>
      </c>
      <c r="E19">
        <f>$O$5*MIN(MAX(C19-$O$3,0),$O$4)</f>
        <v/>
      </c>
      <c r="G19" t="n">
        <v>2017</v>
      </c>
      <c r="H19">
        <f>SUMIF($A$4:$A$23,G19,$D$4:$D$23)</f>
        <v/>
      </c>
      <c r="I19">
        <f>(1+$H$6)*$H$5*$H$4</f>
        <v/>
      </c>
      <c r="J19">
        <f>MIN(H19,I19)</f>
        <v/>
      </c>
      <c r="K19">
        <f>MIN(J19/($H$5*$H$4),$H$6)</f>
        <v/>
      </c>
      <c r="N19" t="n">
        <v>2017</v>
      </c>
      <c r="O19">
        <f>SUMIF($A$4:$A$23,N19,$E$4:$E$23)</f>
        <v/>
      </c>
      <c r="P19">
        <f>(1+$O$6)*$O$5*$O$4</f>
        <v/>
      </c>
      <c r="Q19">
        <f>MIN(O19,P19)</f>
        <v/>
      </c>
      <c r="R19">
        <f>MIN(Q19/($O$5*$O$4),$O$6)</f>
        <v/>
      </c>
    </row>
    <row r="20">
      <c r="A20" t="n">
        <v>2021</v>
      </c>
      <c r="B20" t="inlineStr">
        <is>
          <t>Hurricane Ida</t>
        </is>
      </c>
      <c r="C20" t="n">
        <v>577.029888</v>
      </c>
      <c r="D20">
        <f>$H$5*MIN(MAX(C20-$H$3,0),$H$4)</f>
        <v/>
      </c>
      <c r="E20">
        <f>$O$5*MIN(MAX(C20-$O$3,0),$O$4)</f>
        <v/>
      </c>
      <c r="G20" t="n">
        <v>2018</v>
      </c>
      <c r="H20">
        <f>SUMIF($A$4:$A$23,G20,$D$4:$D$23)</f>
        <v/>
      </c>
      <c r="I20">
        <f>(1+$H$6)*$H$5*$H$4</f>
        <v/>
      </c>
      <c r="J20">
        <f>MIN(H20,I20)</f>
        <v/>
      </c>
      <c r="K20">
        <f>MIN(J20/($H$5*$H$4),$H$6)</f>
        <v/>
      </c>
      <c r="N20" t="n">
        <v>2018</v>
      </c>
      <c r="O20">
        <f>SUMIF($A$4:$A$23,N20,$E$4:$E$23)</f>
        <v/>
      </c>
      <c r="P20">
        <f>(1+$O$6)*$O$5*$O$4</f>
        <v/>
      </c>
      <c r="Q20">
        <f>MIN(O20,P20)</f>
        <v/>
      </c>
      <c r="R20">
        <f>MIN(Q20/($O$5*$O$4),$O$6)</f>
        <v/>
      </c>
    </row>
    <row r="21">
      <c r="A21" t="n">
        <v>2022</v>
      </c>
      <c r="B21" t="inlineStr">
        <is>
          <t>Hurricane Ian</t>
        </is>
      </c>
      <c r="C21" t="n">
        <v>5261.888376</v>
      </c>
      <c r="D21">
        <f>$H$5*MIN(MAX(C21-$H$3,0),$H$4)</f>
        <v/>
      </c>
      <c r="E21">
        <f>$O$5*MIN(MAX(C21-$O$3,0),$O$4)</f>
        <v/>
      </c>
      <c r="G21" t="n">
        <v>2019</v>
      </c>
      <c r="H21">
        <f>SUMIF($A$4:$A$23,G21,$D$4:$D$23)</f>
        <v/>
      </c>
      <c r="I21">
        <f>(1+$H$6)*$H$5*$H$4</f>
        <v/>
      </c>
      <c r="J21">
        <f>MIN(H21,I21)</f>
        <v/>
      </c>
      <c r="K21">
        <f>MIN(J21/($H$5*$H$4),$H$6)</f>
        <v/>
      </c>
      <c r="N21" t="n">
        <v>2019</v>
      </c>
      <c r="O21">
        <f>SUMIF($A$4:$A$23,N21,$E$4:$E$23)</f>
        <v/>
      </c>
      <c r="P21">
        <f>(1+$O$6)*$O$5*$O$4</f>
        <v/>
      </c>
      <c r="Q21">
        <f>MIN(O21,P21)</f>
        <v/>
      </c>
      <c r="R21">
        <f>MIN(Q21/($O$5*$O$4),$O$6)</f>
        <v/>
      </c>
    </row>
    <row r="22">
      <c r="A22" t="n">
        <v>2023</v>
      </c>
      <c r="B22" t="inlineStr">
        <is>
          <t>April Florida Flooding</t>
        </is>
      </c>
      <c r="C22" t="n">
        <v>258.132306</v>
      </c>
      <c r="D22">
        <f>$H$5*MIN(MAX(C22-$H$3,0),$H$4)</f>
        <v/>
      </c>
      <c r="E22">
        <f>$O$5*MIN(MAX(C22-$O$3,0),$O$4)</f>
        <v/>
      </c>
      <c r="G22" t="n">
        <v>2020</v>
      </c>
      <c r="H22">
        <f>SUMIF($A$4:$A$23,G22,$D$4:$D$23)</f>
        <v/>
      </c>
      <c r="I22">
        <f>(1+$H$6)*$H$5*$H$4</f>
        <v/>
      </c>
      <c r="J22">
        <f>MIN(H22,I22)</f>
        <v/>
      </c>
      <c r="K22">
        <f>MIN(J22/($H$5*$H$4),$H$6)</f>
        <v/>
      </c>
      <c r="N22" t="n">
        <v>2020</v>
      </c>
      <c r="O22">
        <f>SUMIF($A$4:$A$23,N22,$E$4:$E$23)</f>
        <v/>
      </c>
      <c r="P22">
        <f>(1+$O$6)*$O$5*$O$4</f>
        <v/>
      </c>
      <c r="Q22">
        <f>MIN(O22,P22)</f>
        <v/>
      </c>
      <c r="R22">
        <f>MIN(Q22/($O$5*$O$4),$O$6)</f>
        <v/>
      </c>
    </row>
    <row r="23">
      <c r="A23" t="n">
        <v>2023</v>
      </c>
      <c r="B23" t="inlineStr">
        <is>
          <t>Hurricane Idalia</t>
        </is>
      </c>
      <c r="C23" t="n">
        <v>395.075767</v>
      </c>
      <c r="D23">
        <f>$H$5*MIN(MAX(C23-$H$3,0),$H$4)</f>
        <v/>
      </c>
      <c r="E23">
        <f>$O$5*MIN(MAX(C23-$O$3,0),$O$4)</f>
        <v/>
      </c>
      <c r="G23" t="n">
        <v>2021</v>
      </c>
      <c r="H23">
        <f>SUMIF($A$4:$A$23,G23,$D$4:$D$23)</f>
        <v/>
      </c>
      <c r="I23">
        <f>(1+$H$6)*$H$5*$H$4</f>
        <v/>
      </c>
      <c r="J23">
        <f>MIN(H23,I23)</f>
        <v/>
      </c>
      <c r="K23">
        <f>MIN(J23/($H$5*$H$4),$H$6)</f>
        <v/>
      </c>
      <c r="N23" t="n">
        <v>2021</v>
      </c>
      <c r="O23">
        <f>SUMIF($A$4:$A$23,N23,$E$4:$E$23)</f>
        <v/>
      </c>
      <c r="P23">
        <f>(1+$O$6)*$O$5*$O$4</f>
        <v/>
      </c>
      <c r="Q23">
        <f>MIN(O23,P23)</f>
        <v/>
      </c>
      <c r="R23">
        <f>MIN(Q23/($O$5*$O$4),$O$6)</f>
        <v/>
      </c>
    </row>
    <row r="24">
      <c r="G24" t="n">
        <v>2022</v>
      </c>
      <c r="H24">
        <f>SUMIF($A$4:$A$23,G24,$D$4:$D$23)</f>
        <v/>
      </c>
      <c r="I24">
        <f>(1+$H$6)*$H$5*$H$4</f>
        <v/>
      </c>
      <c r="J24">
        <f>MIN(H24,I24)</f>
        <v/>
      </c>
      <c r="K24">
        <f>MIN(J24/($H$5*$H$4),$H$6)</f>
        <v/>
      </c>
      <c r="N24" t="n">
        <v>2022</v>
      </c>
      <c r="O24">
        <f>SUMIF($A$4:$A$23,N24,$E$4:$E$23)</f>
        <v/>
      </c>
      <c r="P24">
        <f>(1+$O$6)*$O$5*$O$4</f>
        <v/>
      </c>
      <c r="Q24">
        <f>MIN(O24,P24)</f>
        <v/>
      </c>
      <c r="R24">
        <f>MIN(Q24/($O$5*$O$4),$O$6)</f>
        <v/>
      </c>
    </row>
    <row r="25">
      <c r="G25" t="n">
        <v>2023</v>
      </c>
      <c r="H25">
        <f>SUMIF($A$4:$A$23,G25,$D$4:$D$23)</f>
        <v/>
      </c>
      <c r="I25">
        <f>(1+$H$6)*$H$5*$H$4</f>
        <v/>
      </c>
      <c r="J25">
        <f>MIN(H25,I25)</f>
        <v/>
      </c>
      <c r="K25">
        <f>MIN(J25/($H$5*$H$4),$H$6)</f>
        <v/>
      </c>
      <c r="N25" t="n">
        <v>2023</v>
      </c>
      <c r="O25">
        <f>SUMIF($A$4:$A$23,N25,$E$4:$E$23)</f>
        <v/>
      </c>
      <c r="P25">
        <f>(1+$O$6)*$O$5*$O$4</f>
        <v/>
      </c>
      <c r="Q25">
        <f>MIN(O25,P25)</f>
        <v/>
      </c>
      <c r="R25">
        <f>MIN(Q25/($O$5*$O$4),$O$6)</f>
        <v/>
      </c>
    </row>
    <row r="26">
      <c r="G26" s="1" t="inlineStr">
        <is>
          <t>Burning cost</t>
        </is>
      </c>
      <c r="J26">
        <f>AVERAGE(J11:J25)</f>
        <v/>
      </c>
      <c r="N26" s="1" t="inlineStr">
        <is>
          <t>Burning cost</t>
        </is>
      </c>
      <c r="Q26">
        <f>AVERAGE(Q11:Q25)</f>
        <v/>
      </c>
    </row>
    <row r="27">
      <c r="G27" s="1" t="inlineStr">
        <is>
          <t>Years hit</t>
        </is>
      </c>
      <c r="J27">
        <f>COUNTIF(J11:J25,"&gt;0")</f>
        <v/>
      </c>
      <c r="N27" s="1" t="inlineStr">
        <is>
          <t>Years hit</t>
        </is>
      </c>
      <c r="Q27">
        <f>COUNTIF(Q11:Q25,"&gt;0")</f>
        <v/>
      </c>
    </row>
    <row r="28">
      <c r="G28" s="1" t="inlineStr">
        <is>
          <t>Mean f</t>
        </is>
      </c>
      <c r="K28">
        <f>AVERAGE(K11:K25)</f>
        <v/>
      </c>
      <c r="N28" s="1" t="inlineStr">
        <is>
          <t>Mean f</t>
        </is>
      </c>
      <c r="R28">
        <f>AVERAGE(R11:R25)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2026-09-28T20:22:00Z</dcterms:created>
  <dcterms:modified xsi:type="dcterms:W3CDTF">2026-09-28T20:22:00Z</dcterms:modified>
</cp:coreProperties>
</file>